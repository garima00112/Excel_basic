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264" activeTab="2"/>
  </bookViews>
  <sheets>
    <sheet name="Basic" sheetId="1" r:id="rId1"/>
    <sheet name="Speak cells" sheetId="2" r:id="rId2"/>
    <sheet name="Comment" sheetId="3" r:id="rId3"/>
    <sheet name="Formatting and copying" sheetId="4" r:id="rId4"/>
    <sheet name="If Condition" sheetId="5" r:id="rId5"/>
    <sheet name="Goal seek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6" l="1"/>
  <c r="M5" i="6" s="1"/>
  <c r="L6" i="6"/>
  <c r="M6" i="6" s="1"/>
  <c r="L7" i="6"/>
  <c r="M7" i="6" s="1"/>
  <c r="L8" i="6"/>
  <c r="M8" i="6" s="1"/>
  <c r="L4" i="6"/>
  <c r="M4" i="6" s="1"/>
  <c r="I13" i="6"/>
  <c r="D3" i="5"/>
  <c r="D4" i="5"/>
  <c r="D5" i="5"/>
  <c r="D6" i="5"/>
  <c r="D2" i="5"/>
  <c r="C3" i="5"/>
  <c r="C4" i="5"/>
  <c r="C5" i="5"/>
  <c r="C6" i="5"/>
  <c r="C2" i="5"/>
  <c r="E18" i="1"/>
  <c r="E17" i="1"/>
  <c r="E16" i="1"/>
  <c r="E3" i="1"/>
  <c r="E4" i="1"/>
  <c r="E5" i="1"/>
  <c r="E6" i="1"/>
  <c r="E7" i="1"/>
  <c r="E8" i="1"/>
  <c r="E9" i="1"/>
  <c r="E10" i="1"/>
  <c r="E11" i="1"/>
  <c r="E12" i="1"/>
  <c r="E13" i="1"/>
  <c r="E2" i="1"/>
  <c r="E15" i="1" s="1"/>
  <c r="E14" i="1" l="1"/>
</calcChain>
</file>

<file path=xl/comments1.xml><?xml version="1.0" encoding="utf-8"?>
<comments xmlns="http://schemas.openxmlformats.org/spreadsheetml/2006/main">
  <authors>
    <author>Acer</author>
  </authors>
  <commentList>
    <comment ref="F6" authorId="0" shapeId="0">
      <text>
        <r>
          <rPr>
            <sz val="9"/>
            <color indexed="81"/>
            <rFont val="Tahoma"/>
            <charset val="1"/>
          </rPr>
          <t xml:space="preserve">Garima khadka
</t>
        </r>
      </text>
    </comment>
  </commentList>
</comments>
</file>

<file path=xl/sharedStrings.xml><?xml version="1.0" encoding="utf-8"?>
<sst xmlns="http://schemas.openxmlformats.org/spreadsheetml/2006/main" count="133" uniqueCount="77">
  <si>
    <t>Name</t>
  </si>
  <si>
    <t>Garima</t>
  </si>
  <si>
    <t>S.N</t>
  </si>
  <si>
    <t>Month</t>
  </si>
  <si>
    <t>Total income</t>
  </si>
  <si>
    <t>Total Expense</t>
  </si>
  <si>
    <t>Net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</si>
  <si>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</si>
  <si>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</si>
  <si>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</si>
  <si>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</si>
  <si>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</si>
  <si>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</si>
  <si>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</si>
  <si>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</si>
  <si>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</si>
  <si>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</si>
  <si>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</si>
  <si>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</si>
  <si>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Gaurab</t>
  </si>
  <si>
    <t>Total</t>
  </si>
  <si>
    <t>Maximum</t>
  </si>
  <si>
    <t>Minimum</t>
  </si>
  <si>
    <t>Average</t>
  </si>
  <si>
    <t>count</t>
  </si>
  <si>
    <t>Product name</t>
  </si>
  <si>
    <t>Product By</t>
  </si>
  <si>
    <t>Product Category</t>
  </si>
  <si>
    <t>Allo Bag Rightside Pocket</t>
  </si>
  <si>
    <t>Allo Bag Leftside Pocket</t>
  </si>
  <si>
    <t>Jimla Bag</t>
  </si>
  <si>
    <t>Hemp Fiber Bag</t>
  </si>
  <si>
    <t>Sital Bag</t>
  </si>
  <si>
    <t>Backpack Bag</t>
  </si>
  <si>
    <t>Hemp Bag</t>
  </si>
  <si>
    <t>Nepal Trade Company</t>
  </si>
  <si>
    <t>Janakpur Trade Company</t>
  </si>
  <si>
    <t>By Column</t>
  </si>
  <si>
    <t>By Row</t>
  </si>
  <si>
    <t>By Pressing Enter</t>
  </si>
  <si>
    <t>Speak Cells</t>
  </si>
  <si>
    <t>Comments</t>
  </si>
  <si>
    <t>Insert Comments</t>
  </si>
  <si>
    <t>Edit Comments</t>
  </si>
  <si>
    <t>Show Comments</t>
  </si>
  <si>
    <t>Delete Comments</t>
  </si>
  <si>
    <t>Shift+F2</t>
  </si>
  <si>
    <t>Region</t>
  </si>
  <si>
    <t>Rep</t>
  </si>
  <si>
    <t>Items</t>
  </si>
  <si>
    <t>unit</t>
  </si>
  <si>
    <t>unit cost</t>
  </si>
  <si>
    <t xml:space="preserve">East </t>
  </si>
  <si>
    <t xml:space="preserve">Central </t>
  </si>
  <si>
    <t>West</t>
  </si>
  <si>
    <t>Jones</t>
  </si>
  <si>
    <t>pencils</t>
  </si>
  <si>
    <t>Gill</t>
  </si>
  <si>
    <t>pen</t>
  </si>
  <si>
    <t xml:space="preserve">Adrews </t>
  </si>
  <si>
    <t xml:space="preserve">pencil </t>
  </si>
  <si>
    <t>Sorvino</t>
  </si>
  <si>
    <t>Pencil</t>
  </si>
  <si>
    <t>Age</t>
  </si>
  <si>
    <t>Sanjeev</t>
  </si>
  <si>
    <t>Tika</t>
  </si>
  <si>
    <t>Bhawana</t>
  </si>
  <si>
    <t>Remarks</t>
  </si>
  <si>
    <t>Nepali</t>
  </si>
  <si>
    <t>USD</t>
  </si>
  <si>
    <t>Principle</t>
  </si>
  <si>
    <t>Rate</t>
  </si>
  <si>
    <t>Time</t>
  </si>
  <si>
    <t>SI</t>
  </si>
  <si>
    <t>Start date</t>
  </si>
  <si>
    <t>Today date</t>
  </si>
  <si>
    <t>Total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</si>
</sst>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4" sqref="C14"/>
    </sheetView>
  </sheetViews>
  <sheetFormatPr defaultRowHeight="14.4" x14ac:dyDescent="0.3"/>
  <cols>
    <col min="1" max="1" width="8.6640625" customWidth="1"/>
    <col min="2" max="2" width="10.5546875" customWidth="1"/>
    <col min="3" max="3" width="11.6640625" bestFit="1" customWidth="1"/>
    <col min="4" max="4" width="12.33203125" bestFit="1" customWidth="1"/>
    <col min="5" max="5" width="12.8867187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>
        <v>1</v>
      </c>
      <c r="B2" t="s">
        <v>7</v>
      </c>
      <c r="C2">
        <v>10000</v>
      </c>
      <c r="D2">
        <v>6500</v>
      </c>
      <c r="E2">
        <f>C2-D2</f>
        <v>3500</v>
      </c>
    </row>
    <row r="3" spans="1:5" x14ac:dyDescent="0.3">
      <c r="A3">
        <v>2</v>
      </c>
      <c r="B3" t="s">
        <v>8</v>
      </c>
      <c r="C3">
        <v>20000</v>
      </c>
      <c r="D3">
        <v>250</v>
      </c>
      <c r="E3">
        <f t="shared" ref="E3:E13" si="0">C3-D3</f>
        <v>19750</v>
      </c>
    </row>
    <row r="4" spans="1:5" x14ac:dyDescent="0.3">
      <c r="A4">
        <v>3</v>
      </c>
      <c r="B4" t="s">
        <v>9</v>
      </c>
      <c r="C4">
        <v>300000</v>
      </c>
      <c r="D4">
        <v>2600</v>
      </c>
      <c r="E4">
        <f t="shared" si="0"/>
        <v>297400</v>
      </c>
    </row>
    <row r="5" spans="1:5" x14ac:dyDescent="0.3">
      <c r="A5">
        <v>4</v>
      </c>
      <c r="B5" t="s">
        <v>10</v>
      </c>
      <c r="C5">
        <v>400000</v>
      </c>
      <c r="D5">
        <v>6700</v>
      </c>
      <c r="E5">
        <f t="shared" si="0"/>
        <v>393300</v>
      </c>
    </row>
    <row r="6" spans="1:5" x14ac:dyDescent="0.3">
      <c r="A6">
        <v>5</v>
      </c>
      <c r="B6" t="s">
        <v>11</v>
      </c>
      <c r="C6">
        <v>500000</v>
      </c>
      <c r="D6">
        <v>4500</v>
      </c>
      <c r="E6">
        <f t="shared" si="0"/>
        <v>495500</v>
      </c>
    </row>
    <row r="7" spans="1:5" x14ac:dyDescent="0.3">
      <c r="A7">
        <v>6</v>
      </c>
      <c r="B7" t="s">
        <v>12</v>
      </c>
      <c r="C7">
        <v>600000</v>
      </c>
      <c r="D7">
        <v>54411</v>
      </c>
      <c r="E7">
        <f t="shared" si="0"/>
        <v>545589</v>
      </c>
    </row>
    <row r="8" spans="1:5" x14ac:dyDescent="0.3">
      <c r="A8">
        <v>7</v>
      </c>
      <c r="B8" t="s">
        <v>13</v>
      </c>
      <c r="C8">
        <v>561000</v>
      </c>
      <c r="D8">
        <v>1241</v>
      </c>
      <c r="E8">
        <f t="shared" si="0"/>
        <v>559759</v>
      </c>
    </row>
    <row r="9" spans="1:5" x14ac:dyDescent="0.3">
      <c r="A9">
        <v>8</v>
      </c>
      <c r="B9" t="s">
        <v>14</v>
      </c>
      <c r="C9">
        <v>25000</v>
      </c>
      <c r="D9">
        <v>1514</v>
      </c>
      <c r="E9">
        <f t="shared" si="0"/>
        <v>23486</v>
      </c>
    </row>
    <row r="10" spans="1:5" x14ac:dyDescent="0.3">
      <c r="A10">
        <v>9</v>
      </c>
      <c r="B10" t="s">
        <v>15</v>
      </c>
      <c r="C10">
        <v>65300</v>
      </c>
      <c r="D10">
        <v>65000</v>
      </c>
      <c r="E10">
        <f t="shared" si="0"/>
        <v>300</v>
      </c>
    </row>
    <row r="11" spans="1:5" x14ac:dyDescent="0.3">
      <c r="A11">
        <v>10</v>
      </c>
      <c r="B11" t="s">
        <v>16</v>
      </c>
      <c r="C11">
        <v>57000</v>
      </c>
      <c r="D11">
        <v>7585</v>
      </c>
      <c r="E11">
        <f t="shared" si="0"/>
        <v>49415</v>
      </c>
    </row>
    <row r="12" spans="1:5" x14ac:dyDescent="0.3">
      <c r="A12">
        <v>11</v>
      </c>
      <c r="B12" t="s">
        <v>17</v>
      </c>
      <c r="C12">
        <v>65000</v>
      </c>
      <c r="D12">
        <v>7800</v>
      </c>
      <c r="E12">
        <f t="shared" si="0"/>
        <v>57200</v>
      </c>
    </row>
    <row r="13" spans="1:5" x14ac:dyDescent="0.3">
      <c r="A13">
        <v>12</v>
      </c>
      <c r="B13" t="s">
        <v>18</v>
      </c>
      <c r="C13">
        <v>45000</v>
      </c>
      <c r="D13">
        <v>6588</v>
      </c>
      <c r="E13">
        <f t="shared" si="0"/>
        <v>38412</v>
      </c>
    </row>
    <row r="14" spans="1:5" x14ac:dyDescent="0.3">
      <c r="D14" s="1" t="s">
        <v>20</v>
      </c>
      <c r="E14" s="1">
        <f>SUM(E2:E13)</f>
        <v>2483611</v>
      </c>
    </row>
    <row r="15" spans="1:5" x14ac:dyDescent="0.3">
      <c r="D15" s="1" t="s">
        <v>21</v>
      </c>
      <c r="E15" s="1">
        <f>MAX(E2:E13)</f>
        <v>559759</v>
      </c>
    </row>
    <row r="16" spans="1:5" x14ac:dyDescent="0.3">
      <c r="D16" s="1" t="s">
        <v>22</v>
      </c>
      <c r="E16" s="1">
        <f>MIN(E2:E13)</f>
        <v>300</v>
      </c>
    </row>
    <row r="17" spans="4:5" x14ac:dyDescent="0.3">
      <c r="D17" s="1" t="s">
        <v>23</v>
      </c>
      <c r="E17" s="1">
        <f>AVERAGE(E2:E13)</f>
        <v>206967.58333333334</v>
      </c>
    </row>
    <row r="18" spans="4:5" x14ac:dyDescent="0.3">
      <c r="D18" s="1" t="s">
        <v>24</v>
      </c>
      <c r="E18" s="1">
        <f>COUNT(E2:E13)</f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8" sqref="G5:G11"/>
    </sheetView>
  </sheetViews>
  <sheetFormatPr defaultRowHeight="14.4" x14ac:dyDescent="0.3"/>
  <cols>
    <col min="1" max="1" width="15" customWidth="1"/>
    <col min="7" max="7" width="23.109375" customWidth="1"/>
    <col min="8" max="8" width="15.109375" customWidth="1"/>
    <col min="9" max="9" width="23.44140625" customWidth="1"/>
  </cols>
  <sheetData>
    <row r="1" spans="1:9" x14ac:dyDescent="0.3">
      <c r="A1" s="1" t="s">
        <v>40</v>
      </c>
    </row>
    <row r="2" spans="1:9" x14ac:dyDescent="0.3">
      <c r="A2" t="s">
        <v>38</v>
      </c>
    </row>
    <row r="3" spans="1:9" x14ac:dyDescent="0.3">
      <c r="A3" t="s">
        <v>37</v>
      </c>
    </row>
    <row r="4" spans="1:9" x14ac:dyDescent="0.3">
      <c r="A4" t="s">
        <v>39</v>
      </c>
    </row>
    <row r="5" spans="1:9" x14ac:dyDescent="0.3">
      <c r="G5" s="1" t="s">
        <v>25</v>
      </c>
      <c r="H5" s="1" t="s">
        <v>27</v>
      </c>
      <c r="I5" s="1" t="s">
        <v>26</v>
      </c>
    </row>
    <row r="7" spans="1:9" x14ac:dyDescent="0.3">
      <c r="G7" t="s">
        <v>28</v>
      </c>
      <c r="H7" t="s">
        <v>33</v>
      </c>
      <c r="I7" t="s">
        <v>35</v>
      </c>
    </row>
    <row r="8" spans="1:9" x14ac:dyDescent="0.3">
      <c r="G8" t="s">
        <v>29</v>
      </c>
      <c r="H8" t="s">
        <v>33</v>
      </c>
      <c r="I8" t="s">
        <v>36</v>
      </c>
    </row>
    <row r="9" spans="1:9" x14ac:dyDescent="0.3">
      <c r="G9" t="s">
        <v>30</v>
      </c>
      <c r="H9" t="s">
        <v>33</v>
      </c>
      <c r="I9" t="s">
        <v>36</v>
      </c>
    </row>
    <row r="10" spans="1:9" x14ac:dyDescent="0.3">
      <c r="G10" t="s">
        <v>31</v>
      </c>
      <c r="H10" t="s">
        <v>34</v>
      </c>
      <c r="I10" t="s">
        <v>35</v>
      </c>
    </row>
    <row r="11" spans="1:9" x14ac:dyDescent="0.3">
      <c r="G11" t="s">
        <v>32</v>
      </c>
      <c r="H11" t="s">
        <v>33</v>
      </c>
      <c r="I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" sqref="D1"/>
    </sheetView>
  </sheetViews>
  <sheetFormatPr defaultRowHeight="14.4" x14ac:dyDescent="0.3"/>
  <cols>
    <col min="1" max="1" width="17.21875" customWidth="1"/>
  </cols>
  <sheetData>
    <row r="1" spans="1:6" x14ac:dyDescent="0.3">
      <c r="A1" t="s">
        <v>41</v>
      </c>
    </row>
    <row r="2" spans="1:6" x14ac:dyDescent="0.3">
      <c r="A2" t="s">
        <v>42</v>
      </c>
      <c r="B2" t="s">
        <v>46</v>
      </c>
    </row>
    <row r="3" spans="1:6" x14ac:dyDescent="0.3">
      <c r="A3" t="s">
        <v>43</v>
      </c>
      <c r="B3" t="s">
        <v>46</v>
      </c>
    </row>
    <row r="4" spans="1:6" x14ac:dyDescent="0.3">
      <c r="A4" t="s">
        <v>44</v>
      </c>
    </row>
    <row r="5" spans="1:6" x14ac:dyDescent="0.3">
      <c r="A5" t="s">
        <v>45</v>
      </c>
    </row>
    <row r="6" spans="1:6" x14ac:dyDescent="0.3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G8" sqref="G8"/>
    </sheetView>
  </sheetViews>
  <sheetFormatPr defaultRowHeight="14.4" x14ac:dyDescent="0.3"/>
  <sheetData>
    <row r="1" spans="1:16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20</v>
      </c>
      <c r="G1" s="1"/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20</v>
      </c>
    </row>
    <row r="2" spans="1:16" x14ac:dyDescent="0.3">
      <c r="A2" t="s">
        <v>52</v>
      </c>
      <c r="B2" t="s">
        <v>55</v>
      </c>
      <c r="C2" t="s">
        <v>56</v>
      </c>
      <c r="D2">
        <v>95</v>
      </c>
      <c r="E2">
        <v>1.99</v>
      </c>
      <c r="F2">
        <v>189.05</v>
      </c>
      <c r="K2" t="s">
        <v>52</v>
      </c>
      <c r="L2" t="s">
        <v>55</v>
      </c>
      <c r="M2" t="s">
        <v>56</v>
      </c>
      <c r="N2">
        <v>95</v>
      </c>
      <c r="O2">
        <v>1.99</v>
      </c>
      <c r="P2">
        <v>189.05</v>
      </c>
    </row>
    <row r="3" spans="1:16" x14ac:dyDescent="0.3">
      <c r="A3" t="s">
        <v>53</v>
      </c>
      <c r="B3" t="s">
        <v>57</v>
      </c>
      <c r="C3" t="s">
        <v>58</v>
      </c>
      <c r="D3">
        <v>27</v>
      </c>
      <c r="E3">
        <v>19.989999999999998</v>
      </c>
      <c r="F3">
        <v>539.73</v>
      </c>
      <c r="K3" t="s">
        <v>53</v>
      </c>
      <c r="L3" t="s">
        <v>57</v>
      </c>
      <c r="M3" t="s">
        <v>58</v>
      </c>
      <c r="N3">
        <v>27</v>
      </c>
      <c r="O3">
        <v>19.989999999999998</v>
      </c>
      <c r="P3">
        <v>539.73</v>
      </c>
    </row>
    <row r="4" spans="1:16" x14ac:dyDescent="0.3">
      <c r="A4" t="s">
        <v>53</v>
      </c>
      <c r="B4" t="s">
        <v>59</v>
      </c>
      <c r="C4" t="s">
        <v>60</v>
      </c>
      <c r="D4">
        <v>75</v>
      </c>
      <c r="E4">
        <v>16.22</v>
      </c>
      <c r="F4">
        <v>1563.22</v>
      </c>
      <c r="K4" t="s">
        <v>53</v>
      </c>
      <c r="L4" t="s">
        <v>59</v>
      </c>
      <c r="M4" t="s">
        <v>60</v>
      </c>
      <c r="N4">
        <v>75</v>
      </c>
      <c r="O4">
        <v>16.22</v>
      </c>
      <c r="P4">
        <v>1563.22</v>
      </c>
    </row>
    <row r="5" spans="1:16" x14ac:dyDescent="0.3">
      <c r="A5" t="s">
        <v>54</v>
      </c>
      <c r="B5" t="s">
        <v>61</v>
      </c>
      <c r="C5" t="s">
        <v>58</v>
      </c>
      <c r="D5">
        <v>25</v>
      </c>
      <c r="E5">
        <v>5.55</v>
      </c>
      <c r="F5">
        <v>500</v>
      </c>
      <c r="K5" t="s">
        <v>54</v>
      </c>
      <c r="L5" t="s">
        <v>61</v>
      </c>
      <c r="M5" t="s">
        <v>58</v>
      </c>
      <c r="N5">
        <v>25</v>
      </c>
      <c r="O5">
        <v>5.55</v>
      </c>
      <c r="P5">
        <v>500</v>
      </c>
    </row>
    <row r="6" spans="1:16" x14ac:dyDescent="0.3">
      <c r="A6" t="s">
        <v>52</v>
      </c>
      <c r="B6" t="s">
        <v>57</v>
      </c>
      <c r="C6" t="s">
        <v>62</v>
      </c>
      <c r="D6">
        <v>31</v>
      </c>
      <c r="E6">
        <v>16.05</v>
      </c>
      <c r="F6">
        <v>755.05</v>
      </c>
      <c r="K6" t="s">
        <v>52</v>
      </c>
      <c r="L6" t="s">
        <v>57</v>
      </c>
      <c r="M6" t="s">
        <v>62</v>
      </c>
      <c r="N6">
        <v>31</v>
      </c>
      <c r="O6">
        <v>16.05</v>
      </c>
      <c r="P6">
        <v>755.05</v>
      </c>
    </row>
    <row r="9" spans="1:16" x14ac:dyDescent="0.3">
      <c r="A9" s="1" t="s">
        <v>47</v>
      </c>
      <c r="B9" t="s">
        <v>52</v>
      </c>
      <c r="C9" t="s">
        <v>53</v>
      </c>
      <c r="D9" t="s">
        <v>53</v>
      </c>
      <c r="E9" t="s">
        <v>54</v>
      </c>
      <c r="F9" t="s">
        <v>52</v>
      </c>
    </row>
    <row r="10" spans="1:16" x14ac:dyDescent="0.3">
      <c r="A10" s="1" t="s">
        <v>48</v>
      </c>
      <c r="B10" t="s">
        <v>55</v>
      </c>
      <c r="C10" t="s">
        <v>57</v>
      </c>
      <c r="D10" t="s">
        <v>59</v>
      </c>
      <c r="E10" t="s">
        <v>61</v>
      </c>
      <c r="F10" t="s">
        <v>57</v>
      </c>
    </row>
    <row r="11" spans="1:16" x14ac:dyDescent="0.3">
      <c r="A11" s="1" t="s">
        <v>49</v>
      </c>
      <c r="B11" t="s">
        <v>56</v>
      </c>
      <c r="C11" t="s">
        <v>58</v>
      </c>
      <c r="D11" t="s">
        <v>60</v>
      </c>
      <c r="E11" t="s">
        <v>58</v>
      </c>
      <c r="F11" t="s">
        <v>62</v>
      </c>
    </row>
    <row r="12" spans="1:16" x14ac:dyDescent="0.3">
      <c r="A12" s="1" t="s">
        <v>50</v>
      </c>
      <c r="B12">
        <v>95</v>
      </c>
      <c r="C12">
        <v>27</v>
      </c>
      <c r="D12">
        <v>75</v>
      </c>
      <c r="E12">
        <v>25</v>
      </c>
      <c r="F12">
        <v>31</v>
      </c>
    </row>
    <row r="13" spans="1:16" x14ac:dyDescent="0.3">
      <c r="A13" s="1" t="s">
        <v>51</v>
      </c>
      <c r="B13">
        <v>1.99</v>
      </c>
      <c r="C13">
        <v>19.989999999999998</v>
      </c>
      <c r="D13">
        <v>16.22</v>
      </c>
      <c r="E13">
        <v>5.55</v>
      </c>
      <c r="F13">
        <v>16.05</v>
      </c>
    </row>
    <row r="14" spans="1:16" x14ac:dyDescent="0.3">
      <c r="A14" s="1" t="s">
        <v>20</v>
      </c>
      <c r="B14">
        <v>189.05</v>
      </c>
      <c r="C14">
        <v>539.73</v>
      </c>
      <c r="D14">
        <v>1563.22</v>
      </c>
      <c r="E14">
        <v>500</v>
      </c>
      <c r="F14">
        <v>755.05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63</v>
      </c>
      <c r="C1" t="s">
        <v>67</v>
      </c>
      <c r="D1" t="s">
        <v>67</v>
      </c>
    </row>
    <row r="2" spans="1:4" x14ac:dyDescent="0.3">
      <c r="A2" t="s">
        <v>1</v>
      </c>
      <c r="B2">
        <v>22</v>
      </c>
      <c r="C2">
        <f>IF(B2&gt;=18,1,0)</f>
        <v>1</v>
      </c>
      <c r="D2" t="str">
        <f>IF(B2&gt;=18,"Voter", "Non-Voter")</f>
        <v>Voter</v>
      </c>
    </row>
    <row r="3" spans="1:4" x14ac:dyDescent="0.3">
      <c r="A3" t="s">
        <v>64</v>
      </c>
      <c r="B3">
        <v>27</v>
      </c>
      <c r="C3">
        <f t="shared" ref="C3:C6" si="0">IF(B3&gt;=18,1,0)</f>
        <v>1</v>
      </c>
      <c r="D3" t="str">
        <f t="shared" ref="D3:D6" si="1">IF(B3&gt;=18,"Voter", "Non-Voter")</f>
        <v>Voter</v>
      </c>
    </row>
    <row r="4" spans="1:4" x14ac:dyDescent="0.3">
      <c r="A4" t="s">
        <v>65</v>
      </c>
      <c r="B4">
        <v>25</v>
      </c>
      <c r="C4">
        <f t="shared" si="0"/>
        <v>1</v>
      </c>
      <c r="D4" t="str">
        <f t="shared" si="1"/>
        <v>Voter</v>
      </c>
    </row>
    <row r="5" spans="1:4" x14ac:dyDescent="0.3">
      <c r="A5" t="s">
        <v>66</v>
      </c>
      <c r="B5">
        <v>24</v>
      </c>
      <c r="C5">
        <f t="shared" si="0"/>
        <v>1</v>
      </c>
      <c r="D5" t="str">
        <f t="shared" si="1"/>
        <v>Voter</v>
      </c>
    </row>
    <row r="6" spans="1:4" x14ac:dyDescent="0.3">
      <c r="A6" t="s">
        <v>19</v>
      </c>
      <c r="B6">
        <v>20</v>
      </c>
      <c r="C6">
        <f t="shared" si="0"/>
        <v>1</v>
      </c>
      <c r="D6" t="str">
        <f t="shared" si="1"/>
        <v>Voter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13"/>
  <sheetViews>
    <sheetView workbookViewId="0">
      <selection activeCell="J10" sqref="J10"/>
    </sheetView>
  </sheetViews>
  <sheetFormatPr defaultRowHeight="14.4" x14ac:dyDescent="0.3"/>
  <cols>
    <col min="11" max="11" width="15.33203125" customWidth="1"/>
    <col min="12" max="12" width="13.44140625" customWidth="1"/>
  </cols>
  <sheetData>
    <row r="3" spans="5:13" x14ac:dyDescent="0.3">
      <c r="J3" s="1" t="s">
        <v>2</v>
      </c>
      <c r="K3" s="1" t="s">
        <v>74</v>
      </c>
      <c r="L3" s="1" t="s">
        <v>75</v>
      </c>
      <c r="M3" s="1" t="s">
        <v>76</v>
      </c>
    </row>
    <row r="4" spans="5:13" x14ac:dyDescent="0.3">
      <c r="J4">
        <v>1</v>
      </c>
      <c r="K4" s="2">
        <v>45085</v>
      </c>
      <c r="L4" s="2">
        <f ca="1">TODAY()</f>
        <v>45144</v>
      </c>
      <c r="M4">
        <f ca="1">L4-K4</f>
        <v>59</v>
      </c>
    </row>
    <row r="5" spans="5:13" x14ac:dyDescent="0.3">
      <c r="J5">
        <v>2</v>
      </c>
      <c r="K5" s="2">
        <v>45086</v>
      </c>
      <c r="L5" s="2">
        <f t="shared" ref="L5:L8" ca="1" si="0">TODAY()</f>
        <v>45144</v>
      </c>
      <c r="M5">
        <f t="shared" ref="M5:M8" ca="1" si="1">L5-K5</f>
        <v>58</v>
      </c>
    </row>
    <row r="6" spans="5:13" x14ac:dyDescent="0.3">
      <c r="E6" s="1" t="s">
        <v>69</v>
      </c>
      <c r="F6" s="1" t="s">
        <v>68</v>
      </c>
      <c r="H6" s="1"/>
      <c r="J6">
        <v>3</v>
      </c>
      <c r="K6" s="2">
        <v>45087</v>
      </c>
      <c r="L6" s="2">
        <f t="shared" ca="1" si="0"/>
        <v>45144</v>
      </c>
      <c r="M6">
        <f t="shared" ca="1" si="1"/>
        <v>57</v>
      </c>
    </row>
    <row r="7" spans="5:13" x14ac:dyDescent="0.3">
      <c r="E7">
        <v>1</v>
      </c>
      <c r="F7">
        <v>100.6</v>
      </c>
      <c r="J7">
        <v>4</v>
      </c>
      <c r="K7" s="2">
        <v>45088</v>
      </c>
      <c r="L7" s="2">
        <f t="shared" ca="1" si="0"/>
        <v>45144</v>
      </c>
      <c r="M7">
        <f t="shared" ca="1" si="1"/>
        <v>56</v>
      </c>
    </row>
    <row r="8" spans="5:13" x14ac:dyDescent="0.3">
      <c r="J8">
        <v>5</v>
      </c>
      <c r="K8" s="2">
        <v>45089</v>
      </c>
      <c r="L8" s="2">
        <f t="shared" ca="1" si="0"/>
        <v>45144</v>
      </c>
      <c r="M8">
        <f t="shared" ca="1" si="1"/>
        <v>55</v>
      </c>
    </row>
    <row r="10" spans="5:13" x14ac:dyDescent="0.3">
      <c r="H10" s="1" t="s">
        <v>70</v>
      </c>
      <c r="I10" s="1">
        <v>4000</v>
      </c>
    </row>
    <row r="11" spans="5:13" x14ac:dyDescent="0.3">
      <c r="H11" t="s">
        <v>71</v>
      </c>
      <c r="I11">
        <v>3</v>
      </c>
    </row>
    <row r="12" spans="5:13" x14ac:dyDescent="0.3">
      <c r="H12" t="s">
        <v>72</v>
      </c>
      <c r="I12">
        <v>2</v>
      </c>
    </row>
    <row r="13" spans="5:13" x14ac:dyDescent="0.3">
      <c r="H13" s="1" t="s">
        <v>73</v>
      </c>
      <c r="I13">
        <f>I10*I11*I12/100</f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Speak cells</vt:lpstr>
      <vt:lpstr>Comment</vt:lpstr>
      <vt:lpstr>Formatting and copying</vt:lpstr>
      <vt:lpstr>If Condition</vt:lpstr>
      <vt:lpstr>Goal seek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2023-08-04T02:22:52Z</dcterms:created>
  <dcterms:modified xsi:type="dcterms:W3CDTF">2023-08-06T07:38:38Z</dcterms:modified>
</cp:coreProperties>
</file>